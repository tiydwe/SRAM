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de\hackclubprojects\SRAM\"/>
    </mc:Choice>
  </mc:AlternateContent>
  <xr:revisionPtr revIDLastSave="0" documentId="13_ncr:1_{C1BD4F1D-3F24-4CA1-BAF6-EB06480ED52E}" xr6:coauthVersionLast="47" xr6:coauthVersionMax="47" xr10:uidLastSave="{00000000-0000-0000-0000-000000000000}"/>
  <bookViews>
    <workbookView xWindow="5760" yWindow="2415" windowWidth="21600" windowHeight="12645" xr2:uid="{34E5001A-E530-4D7D-A47C-599746382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Jayden Hor</author>
  </authors>
  <commentList>
    <comment ref="F1" authorId="0" shapeId="0" xr:uid="{E63ECFA2-5E90-4502-8D39-725D5FEE0631}">
      <text>
        <r>
          <rPr>
            <b/>
            <sz val="9"/>
            <color indexed="81"/>
            <rFont val="Tahoma"/>
            <family val="2"/>
          </rPr>
          <t>Colors:
Orange: for multiple boards
Green: for main controller board
Blue: for main demux board
Purple: for the ram boards</t>
        </r>
      </text>
    </comment>
  </commentList>
</comments>
</file>

<file path=xl/sharedStrings.xml><?xml version="1.0" encoding="utf-8"?>
<sst xmlns="http://schemas.openxmlformats.org/spreadsheetml/2006/main" count="92" uniqueCount="85">
  <si>
    <t>Item</t>
  </si>
  <si>
    <t>Qty</t>
  </si>
  <si>
    <t>Cost (total)</t>
  </si>
  <si>
    <t>Description</t>
  </si>
  <si>
    <t>URL</t>
  </si>
  <si>
    <t>JTD JTD2302B</t>
  </si>
  <si>
    <t>n-mosfets</t>
  </si>
  <si>
    <t>https://www.lcsc.com/product-detail/C49308282.html</t>
  </si>
  <si>
    <t>DOINGTER DO2301E-Q</t>
  </si>
  <si>
    <t>p-mosfets</t>
  </si>
  <si>
    <t>https://www.lcsc.com/product-detail/C41384537.html</t>
  </si>
  <si>
    <t>https://www.lcsc.com/product-detail/C3039987.html</t>
  </si>
  <si>
    <t>diodes for charge pump</t>
  </si>
  <si>
    <t>YFW MUR1560FAC</t>
  </si>
  <si>
    <t>luJing 1N4148</t>
  </si>
  <si>
    <t>diodes for rising edge detector</t>
  </si>
  <si>
    <t>https://www.lcsc.com/product-detail/C49318123.html</t>
  </si>
  <si>
    <t>YAGEO CC0805KRX7R9BB104</t>
  </si>
  <si>
    <t>https://www.lcsc.com/product-detail/C49678.html</t>
  </si>
  <si>
    <t>YAGEO CC0603KRX7R0BB104</t>
  </si>
  <si>
    <t>https://www.lcsc.com/product-detail/C113803.html</t>
  </si>
  <si>
    <t>more capacitors (4.7u)</t>
  </si>
  <si>
    <t>general decoupling caps 0603 (100n)</t>
  </si>
  <si>
    <t>general decoupling caps 0805 (100n)</t>
  </si>
  <si>
    <t>more capacitors (47u)</t>
  </si>
  <si>
    <t>ChuangHui RV102M250G120R1Z00ZZ</t>
  </si>
  <si>
    <t>capacitors for charge pump (1m, low esr)</t>
  </si>
  <si>
    <t>https://www.lcsc.com/product-detail/C49435126.html</t>
  </si>
  <si>
    <t>FOJAN FRC0805F1R00TS</t>
  </si>
  <si>
    <t>resistors (1)</t>
  </si>
  <si>
    <t>https://www.lcsc.com/product-detail/C2907233.html</t>
  </si>
  <si>
    <t>FOJAN FRC0805F4R70TS</t>
  </si>
  <si>
    <t>resistors (4.7)</t>
  </si>
  <si>
    <t>https://www.lcsc.com/product-detail/C2933459.html</t>
  </si>
  <si>
    <t>FOJAN FRC0805F10R0TS</t>
  </si>
  <si>
    <t>resistors (10)</t>
  </si>
  <si>
    <t>https://www.lcsc.com/product-detail/C2907220.html</t>
  </si>
  <si>
    <t>FOJAN FRC0805F47R0TS</t>
  </si>
  <si>
    <t>resistors (47)</t>
  </si>
  <si>
    <t>https://www.lcsc.com/product-detail/C2907268.html</t>
  </si>
  <si>
    <t>FOJAN FRC0805F4700TS</t>
  </si>
  <si>
    <t>resistors (470)</t>
  </si>
  <si>
    <t>https://www.lcsc.com/product-detail/C2907267.html</t>
  </si>
  <si>
    <t>FOJAN FRC0805F4701TS</t>
  </si>
  <si>
    <t>resistors (4.7k)</t>
  </si>
  <si>
    <t>https://www.lcsc.com/product-detail/C2907264.html</t>
  </si>
  <si>
    <t>FOJAN FRC0805F1002TS</t>
  </si>
  <si>
    <t>resistors (10k)</t>
  </si>
  <si>
    <t>https://www.lcsc.com/product-detail/C2907219.html</t>
  </si>
  <si>
    <t>FOJAN FRC0805F4702TS</t>
  </si>
  <si>
    <t>resistors (47k)</t>
  </si>
  <si>
    <t>https://www.lcsc.com/product-detail/C2930202.html</t>
  </si>
  <si>
    <t>FOJAN FRC0805F1003TS</t>
  </si>
  <si>
    <t>resistors (100k)</t>
  </si>
  <si>
    <t>https://www.lcsc.com/product-detail/C2907217.html</t>
  </si>
  <si>
    <t>Lian Xin Technology XDFH-0259-2*20P</t>
  </si>
  <si>
    <t>idc headers</t>
  </si>
  <si>
    <t>https://www.lcsc.com/product-detail/C19193829.html</t>
  </si>
  <si>
    <t>approx value, not quoted yet</t>
  </si>
  <si>
    <t>N/A</t>
  </si>
  <si>
    <t>PCB (ram controller board)</t>
  </si>
  <si>
    <t>PCB (main demux board)</t>
  </si>
  <si>
    <t>150mmx150mm, 4 layer, tg155, lead free hasl</t>
  </si>
  <si>
    <t>PCBA (main boards)</t>
  </si>
  <si>
    <t>some more capacitors (100u)</t>
  </si>
  <si>
    <t>Yongyu Photoelectric SZYY0805R</t>
  </si>
  <si>
    <t>red leds</t>
  </si>
  <si>
    <t>https://www.lcsc.com/product-detail/C434431.html</t>
  </si>
  <si>
    <t>FOJAN FRC0805F2200TS</t>
  </si>
  <si>
    <t>resistors (220) for led circuit</t>
  </si>
  <si>
    <t>https://www.lcsc.com/product-detail/C2933369.html</t>
  </si>
  <si>
    <t xml:space="preserve">JLCPCB shipping + tarrifs </t>
  </si>
  <si>
    <t>approx, based on past experience and extrapolating</t>
  </si>
  <si>
    <t>LCSC shipping + tarriffs</t>
  </si>
  <si>
    <t>GRAND TOTAL</t>
  </si>
  <si>
    <t>https://www.lcsc.com/product-detail/C7461243.html</t>
  </si>
  <si>
    <t>KNSCHA 126RV0112</t>
  </si>
  <si>
    <t>HRE CGA1206X5R476M250NT</t>
  </si>
  <si>
    <t>https://www.lcsc.com/product-detail/C6119973.html</t>
  </si>
  <si>
    <t>HRE CGA0805X5R475K500MT</t>
  </si>
  <si>
    <t>https://www.lcsc.com/product-detail/C6119903.html</t>
  </si>
  <si>
    <t>FH RS-06000JT</t>
  </si>
  <si>
    <t>resistors (0)</t>
  </si>
  <si>
    <t>https://www.lcsc.com/product-detail/C115323.html</t>
  </si>
  <si>
    <t>including the mosfets and some misc for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</si>
</sst>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164" fontId="0" fillId="2" borderId="0" xfId="0" applyNumberFormat="1" applyFill="1"/>
    <xf numFmtId="0" fontId="1" fillId="2" borderId="0" xfId="1" applyFill="1"/>
    <xf numFmtId="0" fontId="0" fillId="3" borderId="0" xfId="0" applyFill="1"/>
    <xf numFmtId="1" fontId="0" fillId="3" borderId="0" xfId="0" applyNumberFormat="1" applyFill="1"/>
    <xf numFmtId="164" fontId="0" fillId="3" borderId="0" xfId="0" applyNumberFormat="1" applyFill="1"/>
    <xf numFmtId="0" fontId="1" fillId="3" borderId="0" xfId="1" applyFill="1"/>
    <xf numFmtId="0" fontId="0" fillId="4" borderId="0" xfId="0" applyFill="1"/>
    <xf numFmtId="1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1" fontId="0" fillId="5" borderId="0" xfId="0" applyNumberFormat="1" applyFill="1"/>
    <xf numFmtId="164" fontId="0" fillId="5" borderId="0" xfId="0" applyNumberFormat="1" applyFill="1"/>
    <xf numFmtId="0" fontId="1" fillId="5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C49435126.html" TargetMode="External"/><Relationship Id="rId13" Type="http://schemas.openxmlformats.org/officeDocument/2006/relationships/hyperlink" Target="https://www.lcsc.com/product-detail/C2907267.html" TargetMode="External"/><Relationship Id="rId18" Type="http://schemas.openxmlformats.org/officeDocument/2006/relationships/hyperlink" Target="https://www.lcsc.com/product-detail/C19193829.html" TargetMode="External"/><Relationship Id="rId3" Type="http://schemas.openxmlformats.org/officeDocument/2006/relationships/hyperlink" Target="https://www.lcsc.com/product-detail/C41384537.html" TargetMode="External"/><Relationship Id="rId21" Type="http://schemas.openxmlformats.org/officeDocument/2006/relationships/hyperlink" Target="https://www.lcsc.com/product-detail/C7461243.html" TargetMode="External"/><Relationship Id="rId7" Type="http://schemas.openxmlformats.org/officeDocument/2006/relationships/hyperlink" Target="https://www.lcsc.com/product-detail/C113803.html" TargetMode="External"/><Relationship Id="rId12" Type="http://schemas.openxmlformats.org/officeDocument/2006/relationships/hyperlink" Target="https://www.lcsc.com/product-detail/C2907268.html" TargetMode="External"/><Relationship Id="rId17" Type="http://schemas.openxmlformats.org/officeDocument/2006/relationships/hyperlink" Target="https://www.lcsc.com/product-detail/C2907217.html" TargetMode="External"/><Relationship Id="rId25" Type="http://schemas.openxmlformats.org/officeDocument/2006/relationships/comments" Target="../comments1.xml"/><Relationship Id="rId2" Type="http://schemas.openxmlformats.org/officeDocument/2006/relationships/hyperlink" Target="https://www.lcsc.com/product-detail/C3039987.html" TargetMode="External"/><Relationship Id="rId16" Type="http://schemas.openxmlformats.org/officeDocument/2006/relationships/hyperlink" Target="https://www.lcsc.com/product-detail/C2930202.html" TargetMode="External"/><Relationship Id="rId20" Type="http://schemas.openxmlformats.org/officeDocument/2006/relationships/hyperlink" Target="https://www.lcsc.com/product-detail/C2933369.html" TargetMode="External"/><Relationship Id="rId1" Type="http://schemas.openxmlformats.org/officeDocument/2006/relationships/hyperlink" Target="https://www.lcsc.com/product-detail/C49318123.html" TargetMode="External"/><Relationship Id="rId6" Type="http://schemas.openxmlformats.org/officeDocument/2006/relationships/hyperlink" Target="https://www.lcsc.com/product-detail/C6119903.html" TargetMode="External"/><Relationship Id="rId11" Type="http://schemas.openxmlformats.org/officeDocument/2006/relationships/hyperlink" Target="https://www.lcsc.com/product-detail/C2907220.html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https://www.lcsc.com/product-detail/C49678.html" TargetMode="External"/><Relationship Id="rId15" Type="http://schemas.openxmlformats.org/officeDocument/2006/relationships/hyperlink" Target="https://www.lcsc.com/product-detail/C2907219.html" TargetMode="External"/><Relationship Id="rId23" Type="http://schemas.openxmlformats.org/officeDocument/2006/relationships/hyperlink" Target="https://www.lcsc.com/product-detail/C115323.html" TargetMode="External"/><Relationship Id="rId10" Type="http://schemas.openxmlformats.org/officeDocument/2006/relationships/hyperlink" Target="https://www.lcsc.com/product-detail/C2933459.html" TargetMode="External"/><Relationship Id="rId19" Type="http://schemas.openxmlformats.org/officeDocument/2006/relationships/hyperlink" Target="https://www.lcsc.com/product-detail/C434431.html" TargetMode="External"/><Relationship Id="rId4" Type="http://schemas.openxmlformats.org/officeDocument/2006/relationships/hyperlink" Target="https://www.lcsc.com/product-detail/C49308282.html" TargetMode="External"/><Relationship Id="rId9" Type="http://schemas.openxmlformats.org/officeDocument/2006/relationships/hyperlink" Target="https://www.lcsc.com/product-detail/C2907233.html" TargetMode="External"/><Relationship Id="rId14" Type="http://schemas.openxmlformats.org/officeDocument/2006/relationships/hyperlink" Target="https://www.lcsc.com/product-detail/C2907264.html" TargetMode="External"/><Relationship Id="rId22" Type="http://schemas.openxmlformats.org/officeDocument/2006/relationships/hyperlink" Target="https://www.lcsc.com/product-detail/C611997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53EB-BB1E-4BE6-92B6-2B30F9AD7E28}">
  <dimension ref="A1:F40"/>
  <sheetViews>
    <sheetView tabSelected="1" topLeftCell="A4" workbookViewId="0">
      <selection activeCell="D34" sqref="D34"/>
    </sheetView>
  </sheetViews>
  <sheetFormatPr defaultRowHeight="15" x14ac:dyDescent="0.25"/>
  <cols>
    <col min="1" max="1" width="36.5703125" customWidth="1"/>
    <col min="2" max="2" width="10" style="2" customWidth="1"/>
    <col min="3" max="3" width="11" style="1" customWidth="1"/>
    <col min="4" max="4" width="47.42578125" customWidth="1"/>
    <col min="5" max="5" width="49.5703125" customWidth="1"/>
    <col min="6" max="6" width="53.28515625" customWidth="1"/>
  </cols>
  <sheetData>
    <row r="1" spans="1:6" x14ac:dyDescent="0.25">
      <c r="A1" t="s">
        <v>0</v>
      </c>
      <c r="B1" s="2" t="s">
        <v>1</v>
      </c>
      <c r="C1" s="1" t="s">
        <v>2</v>
      </c>
      <c r="D1" t="s">
        <v>3</v>
      </c>
      <c r="E1" t="s">
        <v>4</v>
      </c>
    </row>
    <row r="2" spans="1:6" x14ac:dyDescent="0.25">
      <c r="A2" s="3" t="s">
        <v>5</v>
      </c>
      <c r="B2" s="4">
        <v>3000</v>
      </c>
      <c r="C2" s="5">
        <v>27</v>
      </c>
      <c r="D2" s="3" t="s">
        <v>6</v>
      </c>
      <c r="E2" s="6" t="s">
        <v>7</v>
      </c>
    </row>
    <row r="3" spans="1:6" x14ac:dyDescent="0.25">
      <c r="A3" s="3" t="s">
        <v>8</v>
      </c>
      <c r="B3" s="4">
        <v>3000</v>
      </c>
      <c r="C3" s="5">
        <v>26.7</v>
      </c>
      <c r="D3" s="3" t="s">
        <v>9</v>
      </c>
      <c r="E3" s="6" t="s">
        <v>10</v>
      </c>
    </row>
    <row r="4" spans="1:6" x14ac:dyDescent="0.25">
      <c r="A4" s="3" t="s">
        <v>55</v>
      </c>
      <c r="B4" s="4">
        <v>40</v>
      </c>
      <c r="C4" s="5">
        <v>21.55</v>
      </c>
      <c r="D4" s="3" t="s">
        <v>56</v>
      </c>
      <c r="E4" s="6" t="s">
        <v>57</v>
      </c>
    </row>
    <row r="7" spans="1:6" x14ac:dyDescent="0.25">
      <c r="A7" s="7" t="s">
        <v>13</v>
      </c>
      <c r="B7" s="8">
        <v>15</v>
      </c>
      <c r="C7" s="9">
        <v>6.35</v>
      </c>
      <c r="D7" s="7" t="s">
        <v>12</v>
      </c>
      <c r="E7" s="10" t="s">
        <v>11</v>
      </c>
    </row>
    <row r="8" spans="1:6" x14ac:dyDescent="0.25">
      <c r="A8" s="7" t="s">
        <v>14</v>
      </c>
      <c r="B8" s="8">
        <v>50</v>
      </c>
      <c r="C8" s="9">
        <v>0.43</v>
      </c>
      <c r="D8" s="7" t="s">
        <v>15</v>
      </c>
      <c r="E8" s="10" t="s">
        <v>16</v>
      </c>
    </row>
    <row r="9" spans="1:6" x14ac:dyDescent="0.25">
      <c r="A9" s="3" t="s">
        <v>17</v>
      </c>
      <c r="B9" s="4">
        <v>600</v>
      </c>
      <c r="C9" s="5">
        <v>7.68</v>
      </c>
      <c r="D9" s="3" t="s">
        <v>23</v>
      </c>
      <c r="E9" s="6" t="s">
        <v>18</v>
      </c>
    </row>
    <row r="10" spans="1:6" x14ac:dyDescent="0.25">
      <c r="A10" s="3" t="s">
        <v>19</v>
      </c>
      <c r="B10" s="4">
        <v>500</v>
      </c>
      <c r="C10" s="5">
        <v>4.4000000000000004</v>
      </c>
      <c r="D10" s="3" t="s">
        <v>22</v>
      </c>
      <c r="E10" s="6" t="s">
        <v>20</v>
      </c>
    </row>
    <row r="11" spans="1:6" x14ac:dyDescent="0.25">
      <c r="A11" s="7" t="s">
        <v>79</v>
      </c>
      <c r="B11" s="8">
        <v>20</v>
      </c>
      <c r="C11" s="9">
        <v>0.78</v>
      </c>
      <c r="D11" s="7" t="s">
        <v>21</v>
      </c>
      <c r="E11" s="10" t="s">
        <v>80</v>
      </c>
    </row>
    <row r="12" spans="1:6" x14ac:dyDescent="0.25">
      <c r="A12" s="7" t="s">
        <v>77</v>
      </c>
      <c r="B12" s="8">
        <v>10</v>
      </c>
      <c r="C12" s="9">
        <v>2.88</v>
      </c>
      <c r="D12" s="7" t="s">
        <v>24</v>
      </c>
      <c r="E12" s="10" t="s">
        <v>78</v>
      </c>
    </row>
    <row r="13" spans="1:6" x14ac:dyDescent="0.25">
      <c r="A13" s="7" t="s">
        <v>25</v>
      </c>
      <c r="B13" s="8">
        <v>10</v>
      </c>
      <c r="C13" s="9">
        <v>2.5299999999999998</v>
      </c>
      <c r="D13" s="7" t="s">
        <v>26</v>
      </c>
      <c r="E13" s="10" t="s">
        <v>27</v>
      </c>
    </row>
    <row r="14" spans="1:6" x14ac:dyDescent="0.25">
      <c r="A14" s="7" t="s">
        <v>81</v>
      </c>
      <c r="B14" s="8">
        <v>100</v>
      </c>
      <c r="C14" s="9">
        <v>0.35</v>
      </c>
      <c r="D14" s="7" t="s">
        <v>82</v>
      </c>
      <c r="E14" s="10" t="s">
        <v>83</v>
      </c>
    </row>
    <row r="15" spans="1:6" x14ac:dyDescent="0.25">
      <c r="A15" s="7" t="s">
        <v>28</v>
      </c>
      <c r="B15" s="8">
        <v>100</v>
      </c>
      <c r="C15" s="9">
        <v>0.42</v>
      </c>
      <c r="D15" s="7" t="s">
        <v>29</v>
      </c>
      <c r="E15" s="10" t="s">
        <v>30</v>
      </c>
    </row>
    <row r="16" spans="1:6" x14ac:dyDescent="0.25">
      <c r="A16" s="7" t="s">
        <v>31</v>
      </c>
      <c r="B16" s="8">
        <v>100</v>
      </c>
      <c r="C16" s="9">
        <v>0.41</v>
      </c>
      <c r="D16" s="7" t="s">
        <v>32</v>
      </c>
      <c r="E16" s="10" t="s">
        <v>33</v>
      </c>
    </row>
    <row r="17" spans="1:5" x14ac:dyDescent="0.25">
      <c r="A17" s="7" t="s">
        <v>34</v>
      </c>
      <c r="B17" s="8">
        <v>100</v>
      </c>
      <c r="C17" s="9">
        <v>0.32</v>
      </c>
      <c r="D17" s="7" t="s">
        <v>35</v>
      </c>
      <c r="E17" s="10" t="s">
        <v>36</v>
      </c>
    </row>
    <row r="18" spans="1:5" x14ac:dyDescent="0.25">
      <c r="A18" s="7" t="s">
        <v>37</v>
      </c>
      <c r="B18" s="8">
        <v>100</v>
      </c>
      <c r="C18" s="9">
        <v>0.32</v>
      </c>
      <c r="D18" s="7" t="s">
        <v>38</v>
      </c>
      <c r="E18" s="10" t="s">
        <v>39</v>
      </c>
    </row>
    <row r="19" spans="1:5" x14ac:dyDescent="0.25">
      <c r="A19" s="7" t="s">
        <v>40</v>
      </c>
      <c r="B19" s="8">
        <v>100</v>
      </c>
      <c r="C19" s="9">
        <v>0.32</v>
      </c>
      <c r="D19" s="7" t="s">
        <v>41</v>
      </c>
      <c r="E19" s="10" t="s">
        <v>42</v>
      </c>
    </row>
    <row r="20" spans="1:5" x14ac:dyDescent="0.25">
      <c r="A20" s="7" t="s">
        <v>43</v>
      </c>
      <c r="B20" s="8">
        <v>100</v>
      </c>
      <c r="C20" s="9">
        <v>0.3</v>
      </c>
      <c r="D20" s="7" t="s">
        <v>44</v>
      </c>
      <c r="E20" s="10" t="s">
        <v>45</v>
      </c>
    </row>
    <row r="21" spans="1:5" x14ac:dyDescent="0.25">
      <c r="A21" s="3" t="s">
        <v>46</v>
      </c>
      <c r="B21" s="4">
        <v>100</v>
      </c>
      <c r="C21" s="5">
        <v>0.27</v>
      </c>
      <c r="D21" s="3" t="s">
        <v>47</v>
      </c>
      <c r="E21" s="6" t="s">
        <v>48</v>
      </c>
    </row>
    <row r="22" spans="1:5" x14ac:dyDescent="0.25">
      <c r="A22" s="7" t="s">
        <v>49</v>
      </c>
      <c r="B22" s="8">
        <v>100</v>
      </c>
      <c r="C22" s="9">
        <v>0.32</v>
      </c>
      <c r="D22" s="7" t="s">
        <v>50</v>
      </c>
      <c r="E22" s="10" t="s">
        <v>51</v>
      </c>
    </row>
    <row r="23" spans="1:5" x14ac:dyDescent="0.25">
      <c r="A23" s="7" t="s">
        <v>52</v>
      </c>
      <c r="B23" s="8">
        <v>100</v>
      </c>
      <c r="C23" s="9">
        <v>0.33</v>
      </c>
      <c r="D23" s="7" t="s">
        <v>53</v>
      </c>
      <c r="E23" s="10" t="s">
        <v>54</v>
      </c>
    </row>
    <row r="24" spans="1:5" x14ac:dyDescent="0.25">
      <c r="A24" s="7" t="s">
        <v>60</v>
      </c>
      <c r="B24" s="8">
        <v>1</v>
      </c>
      <c r="C24" s="9">
        <v>50</v>
      </c>
      <c r="D24" s="7" t="s">
        <v>58</v>
      </c>
      <c r="E24" s="7" t="s">
        <v>59</v>
      </c>
    </row>
    <row r="27" spans="1:5" x14ac:dyDescent="0.25">
      <c r="A27" s="11" t="s">
        <v>61</v>
      </c>
      <c r="B27" s="12">
        <v>1</v>
      </c>
      <c r="C27" s="13">
        <v>48.37</v>
      </c>
      <c r="D27" s="11" t="s">
        <v>62</v>
      </c>
      <c r="E27" s="11" t="s">
        <v>59</v>
      </c>
    </row>
    <row r="30" spans="1:5" x14ac:dyDescent="0.25">
      <c r="A30" s="14" t="s">
        <v>63</v>
      </c>
      <c r="B30" s="15">
        <v>16</v>
      </c>
      <c r="C30" s="16">
        <v>400</v>
      </c>
      <c r="D30" s="14" t="s">
        <v>84</v>
      </c>
      <c r="E30" s="14" t="s">
        <v>59</v>
      </c>
    </row>
    <row r="31" spans="1:5" x14ac:dyDescent="0.25">
      <c r="A31" s="14" t="s">
        <v>76</v>
      </c>
      <c r="B31" s="15">
        <v>100</v>
      </c>
      <c r="C31" s="16">
        <v>4.4000000000000004</v>
      </c>
      <c r="D31" s="14" t="s">
        <v>64</v>
      </c>
      <c r="E31" s="17" t="s">
        <v>75</v>
      </c>
    </row>
    <row r="32" spans="1:5" x14ac:dyDescent="0.25">
      <c r="A32" s="14" t="s">
        <v>65</v>
      </c>
      <c r="B32" s="15">
        <v>500</v>
      </c>
      <c r="C32" s="16">
        <v>5.8</v>
      </c>
      <c r="D32" s="14" t="s">
        <v>66</v>
      </c>
      <c r="E32" s="17" t="s">
        <v>67</v>
      </c>
    </row>
    <row r="33" spans="1:5" x14ac:dyDescent="0.25">
      <c r="A33" s="14" t="s">
        <v>68</v>
      </c>
      <c r="B33" s="15">
        <v>500</v>
      </c>
      <c r="C33" s="16">
        <v>1.6</v>
      </c>
      <c r="D33" s="14" t="s">
        <v>69</v>
      </c>
      <c r="E33" s="17" t="s">
        <v>70</v>
      </c>
    </row>
    <row r="36" spans="1:5" x14ac:dyDescent="0.25">
      <c r="A36" s="3" t="s">
        <v>71</v>
      </c>
      <c r="B36" s="4" t="s">
        <v>59</v>
      </c>
      <c r="C36" s="5">
        <v>100</v>
      </c>
      <c r="D36" s="3" t="s">
        <v>72</v>
      </c>
      <c r="E36" s="3" t="s">
        <v>59</v>
      </c>
    </row>
    <row r="37" spans="1:5" x14ac:dyDescent="0.25">
      <c r="A37" s="3" t="s">
        <v>73</v>
      </c>
      <c r="B37" s="4" t="s">
        <v>59</v>
      </c>
      <c r="C37" s="5">
        <v>50</v>
      </c>
      <c r="D37" s="3" t="s">
        <v>72</v>
      </c>
      <c r="E37" s="3" t="s">
        <v>59</v>
      </c>
    </row>
    <row r="40" spans="1:5" x14ac:dyDescent="0.25">
      <c r="A40" t="s">
        <v>74</v>
      </c>
      <c r="C40" s="1">
        <f>SUM(C2:C39)</f>
        <v>763.82999999999993</v>
      </c>
    </row>
  </sheetData>
  <hyperlinks>
    <hyperlink ref="E8" r:id="rId1" xr:uid="{15215B3D-FA5E-48FB-8EE7-EB176E394B70}"/>
    <hyperlink ref="E7" r:id="rId2" xr:uid="{98CCC44D-DB76-4EE9-94CF-F37FAEA9BCB5}"/>
    <hyperlink ref="E3" r:id="rId3" xr:uid="{D9E20DA9-C275-4CE9-AF20-9AEF60D976F5}"/>
    <hyperlink ref="E2" r:id="rId4" xr:uid="{2677350B-8551-4DBC-A88A-2FE3589255E8}"/>
    <hyperlink ref="E9" r:id="rId5" xr:uid="{AF1D5E71-8A26-4861-AB6C-BA5B73B558B5}"/>
    <hyperlink ref="E11" r:id="rId6" xr:uid="{EAA0FE3F-4210-4197-8A84-3E311B1E0DD4}"/>
    <hyperlink ref="E10" r:id="rId7" xr:uid="{E6B30901-51DC-48D1-A00D-9CC15A311090}"/>
    <hyperlink ref="E13" r:id="rId8" xr:uid="{655DD5A6-3680-402D-A213-E373ED0A04B3}"/>
    <hyperlink ref="E15" r:id="rId9" xr:uid="{E6DF9F36-757E-4476-BD70-28F7E1F99F70}"/>
    <hyperlink ref="E16" r:id="rId10" xr:uid="{1AC84DE5-6CCA-42CC-80AC-70114945119B}"/>
    <hyperlink ref="E17" r:id="rId11" xr:uid="{69CEFA70-F3C1-42F1-B023-1EA7E7A16646}"/>
    <hyperlink ref="E18" r:id="rId12" xr:uid="{F23FE842-6DB6-4E4F-A145-C3FAB5F46BB5}"/>
    <hyperlink ref="E19" r:id="rId13" xr:uid="{96D480BA-3143-4D27-910A-8DB63BD9911E}"/>
    <hyperlink ref="E20" r:id="rId14" xr:uid="{FC1E44E0-E492-40A7-BA72-858E311F0E6B}"/>
    <hyperlink ref="E21" r:id="rId15" xr:uid="{8FCF208D-DB1E-4B78-8F0B-0862090DF17C}"/>
    <hyperlink ref="E22" r:id="rId16" xr:uid="{4D2E9F39-BBF0-4ED5-A3F4-155FDCE0EE23}"/>
    <hyperlink ref="E23" r:id="rId17" xr:uid="{2A107639-C50E-4692-BCD5-0196CE4739AB}"/>
    <hyperlink ref="E4" r:id="rId18" xr:uid="{844DA8A5-FB35-4F0B-A1F4-8116A748C40E}"/>
    <hyperlink ref="E32" r:id="rId19" xr:uid="{5600F95F-40E7-4F55-A313-2023A5F400B9}"/>
    <hyperlink ref="E33" r:id="rId20" xr:uid="{9D311E0B-996E-4B99-B32A-9F25E8B76079}"/>
    <hyperlink ref="E31" r:id="rId21" xr:uid="{603F2D51-63FE-4820-93B9-30767E19C3CC}"/>
    <hyperlink ref="E12" r:id="rId22" xr:uid="{28A0EBB7-2304-492C-A951-78F5F394482B}"/>
    <hyperlink ref="E14" r:id="rId23" xr:uid="{6ED20A36-8F40-483A-BE25-4C87A2D92BFB}"/>
  </hyperlinks>
  <pageMargins left="0.7" right="0.7" top="0.75" bottom="0.75" header="0.3" footer="0.3"/>
  <legacy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JAYDEN HOR</dc:creator>
  <cp:lastModifiedBy>JAYDEN HOR</cp:lastModifiedBy>
  <dcterms:created xsi:type="dcterms:W3CDTF">2026-10-14T23:22:47Z</dcterms:created>
  <dcterms:modified xsi:type="dcterms:W3CDTF">2026-10-21T22:07:54Z</dcterms:modified>
</cp:coreProperties>
</file>